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ine" sheetId="1" r:id="rId5"/>
    <sheet state="visible" name="Activity" sheetId="2" r:id="rId6"/>
  </sheets>
  <definedNames/>
  <calcPr/>
</workbook>
</file>

<file path=xl/sharedStrings.xml><?xml version="1.0" encoding="utf-8"?>
<sst xmlns="http://schemas.openxmlformats.org/spreadsheetml/2006/main" count="43" uniqueCount="38">
  <si>
    <t>Check</t>
  </si>
  <si>
    <t>Correct Answer</t>
  </si>
  <si>
    <t>Stats</t>
  </si>
  <si>
    <t>Both</t>
  </si>
  <si>
    <t>Scouts</t>
  </si>
  <si>
    <t>Player B</t>
  </si>
  <si>
    <t>M3-L2-101-SCOUTS</t>
  </si>
  <si>
    <t>Track 101 · Lesson 2 — Stats vs Scouts: Decision Lab</t>
  </si>
  <si>
    <t>Stage 1 — Who Was More Right?</t>
  </si>
  <si>
    <t>Player</t>
  </si>
  <si>
    <t>Scouting Snapshot</t>
  </si>
  <si>
    <t>Key Stats</t>
  </si>
  <si>
    <t>Your Answer</t>
  </si>
  <si>
    <t>Player 1</t>
  </si>
  <si>
    <t>Explosive scorer, elite athlete, looks like a star, tough shot-maker.</t>
  </si>
  <si>
    <t>22.4 PPG, TS 50%, high turnovers, poor defense, on/off –4.2.</t>
  </si>
  <si>
    <t>STARTING</t>
  </si>
  <si>
    <t>Player 2</t>
  </si>
  <si>
    <t>High IQ, elite positioning, not flashy, coach favorite.</t>
  </si>
  <si>
    <t>11.3 PPG, TS 61%, elite defense, low turnovers, on/off +7.8.</t>
  </si>
  <si>
    <t>Player 3</t>
  </si>
  <si>
    <t>Young, long, high motor, raw but improving, big upside.</t>
  </si>
  <si>
    <t>5.8 PPG, TS 51%, low usage, good rebounding + block rates.</t>
  </si>
  <si>
    <t>Stage 2 — Who Should You Sign?</t>
  </si>
  <si>
    <t>Option</t>
  </si>
  <si>
    <t>Scouting</t>
  </si>
  <si>
    <t>Contract</t>
  </si>
  <si>
    <t>Your Choice</t>
  </si>
  <si>
    <t>Player A🔵</t>
  </si>
  <si>
    <t>Electric scorer, great athlete, creates tough shots, poor defender.</t>
  </si>
  <si>
    <t>21.8 PPG, TS 51%, high turnovers, bad defense, on/off –2.8.</t>
  </si>
  <si>
    <t>4 yrs, $84M</t>
  </si>
  <si>
    <t>Player B🟢</t>
  </si>
  <si>
    <t>High IQ, elite defender, strong passer, makes teammates better.</t>
  </si>
  <si>
    <t>11.2 PPG, TS 63%, elite defense, low turnovers, on/off +6.1.</t>
  </si>
  <si>
    <t>4 yrs, $52M</t>
  </si>
  <si>
    <t>Overall Result</t>
  </si>
  <si>
    <t>Claim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</si>
</sst>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3F3F3"/>
      <name val="Poppins"/>
    </font>
    <font>
      <sz val="11.0"/>
      <color rgb="FFFFFFFF"/>
      <name val="Poppins"/>
    </font>
    <font>
      <color rgb="FFFFFFFF"/>
      <name val="Poppins"/>
    </font>
    <font>
      <sz val="11.0"/>
      <color theme="1"/>
      <name val="Poppins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06182A"/>
        <bgColor rgb="FF06182A"/>
      </patternFill>
    </fill>
    <fill>
      <patternFill patternType="solid">
        <fgColor rgb="FF1E90FF"/>
        <bgColor rgb="FF1E90FF"/>
      </patternFill>
    </fill>
    <fill>
      <patternFill patternType="solid">
        <fgColor rgb="FFF3F7FB"/>
        <bgColor rgb="FFF3F7FB"/>
      </patternFill>
    </fill>
    <fill>
      <patternFill patternType="solid">
        <fgColor rgb="FFFFF3C4"/>
        <bgColor rgb="FFFFF3C4"/>
      </patternFill>
    </fill>
    <fill>
      <patternFill patternType="solid">
        <fgColor rgb="FF0B6E4F"/>
        <bgColor rgb="FF0B6E4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tr">
        <f>Activity!D7
</f>
        <v>STARTING</v>
      </c>
      <c r="B2" s="1" t="s">
        <v>2</v>
      </c>
    </row>
    <row r="3">
      <c r="A3" s="1" t="str">
        <f>Activity!D8
</f>
        <v>STARTING</v>
      </c>
      <c r="B3" s="1" t="s">
        <v>3</v>
      </c>
    </row>
    <row r="4">
      <c r="A4" s="1" t="str">
        <f>Activity!D9
</f>
        <v>STARTING</v>
      </c>
      <c r="B4" s="1" t="s">
        <v>4</v>
      </c>
    </row>
    <row r="6">
      <c r="A6" s="2" t="b">
        <f>AND(A2=B2, A3=B3, A4=B4)</f>
        <v>0</v>
      </c>
    </row>
    <row r="8">
      <c r="A8" s="2" t="str">
        <f>Activity!E16
</f>
        <v>STARTING</v>
      </c>
      <c r="B8" s="1" t="s">
        <v>5</v>
      </c>
    </row>
    <row r="9">
      <c r="A9" s="2" t="b">
        <f>A8=B8</f>
        <v>0</v>
      </c>
    </row>
    <row r="10">
      <c r="B10" s="2" t="str">
        <f>IF(AND(A6=TRUE, A9=TRUE),"PASS","TRY AGAIN")</f>
        <v>TRY AGAIN</v>
      </c>
    </row>
    <row r="12">
      <c r="B12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0"/>
    <col customWidth="1" min="3" max="3" width="59.0"/>
  </cols>
  <sheetData>
    <row r="1">
      <c r="A1" s="3" t="s">
        <v>7</v>
      </c>
    </row>
    <row r="4">
      <c r="A4" s="4" t="s">
        <v>8</v>
      </c>
    </row>
    <row r="6">
      <c r="A6" s="5" t="s">
        <v>9</v>
      </c>
      <c r="B6" s="5" t="s">
        <v>10</v>
      </c>
      <c r="C6" s="5" t="s">
        <v>11</v>
      </c>
      <c r="D6" s="6" t="s">
        <v>12</v>
      </c>
    </row>
    <row r="7">
      <c r="A7" s="7" t="s">
        <v>13</v>
      </c>
      <c r="B7" s="7" t="s">
        <v>14</v>
      </c>
      <c r="C7" s="7" t="s">
        <v>15</v>
      </c>
      <c r="D7" s="8" t="s">
        <v>16</v>
      </c>
    </row>
    <row r="8">
      <c r="A8" s="7" t="s">
        <v>17</v>
      </c>
      <c r="B8" s="7" t="s">
        <v>18</v>
      </c>
      <c r="C8" s="7" t="s">
        <v>19</v>
      </c>
      <c r="D8" s="8" t="s">
        <v>16</v>
      </c>
    </row>
    <row r="9">
      <c r="A9" s="7" t="s">
        <v>20</v>
      </c>
      <c r="B9" s="7" t="s">
        <v>21</v>
      </c>
      <c r="C9" s="7" t="s">
        <v>22</v>
      </c>
      <c r="D9" s="8" t="s">
        <v>16</v>
      </c>
    </row>
    <row r="11">
      <c r="A11" s="4" t="s">
        <v>23</v>
      </c>
    </row>
    <row r="14">
      <c r="A14" s="9" t="s">
        <v>24</v>
      </c>
      <c r="B14" s="9" t="s">
        <v>25</v>
      </c>
      <c r="C14" s="9" t="s">
        <v>11</v>
      </c>
      <c r="D14" s="9" t="s">
        <v>26</v>
      </c>
      <c r="E14" s="9" t="s">
        <v>27</v>
      </c>
    </row>
    <row r="15">
      <c r="A15" s="10" t="s">
        <v>28</v>
      </c>
      <c r="B15" s="10" t="s">
        <v>29</v>
      </c>
      <c r="C15" s="10" t="s">
        <v>30</v>
      </c>
      <c r="D15" s="10" t="s">
        <v>31</v>
      </c>
      <c r="E15" s="8" t="s">
        <v>16</v>
      </c>
    </row>
    <row r="16">
      <c r="A16" s="10" t="s">
        <v>32</v>
      </c>
      <c r="B16" s="10" t="s">
        <v>33</v>
      </c>
      <c r="C16" s="10" t="s">
        <v>34</v>
      </c>
      <c r="D16" s="10" t="s">
        <v>35</v>
      </c>
      <c r="E16" s="8" t="s">
        <v>16</v>
      </c>
    </row>
    <row r="20">
      <c r="A20" s="11" t="s">
        <v>36</v>
      </c>
      <c r="B20" s="12" t="b">
        <f>Engine!A9</f>
        <v>0</v>
      </c>
    </row>
    <row r="21">
      <c r="A21" s="12"/>
      <c r="B21" s="12"/>
    </row>
    <row r="22">
      <c r="A22" s="11" t="s">
        <v>37</v>
      </c>
      <c r="B22" s="12" t="str">
        <f>IF(Engine!B10="PASS", Engine!B12, "")</f>
        <v/>
      </c>
    </row>
  </sheetData>
  <mergeCells count="3">
    <mergeCell ref="A1:C1"/>
    <mergeCell ref="A4:E4"/>
    <mergeCell ref="A11:E11"/>
  </mergeCells>
  <dataValidations>
    <dataValidation type="list" allowBlank="1" showErrorMessage="1" sqref="E15:E16">
      <formula1>"Player A,Player B,STARTING"</formula1>
    </dataValidation>
    <dataValidation type="list" allowBlank="1" showErrorMessage="1" sqref="D7:D9">
      <formula1>"Scouts,Stats,Both,STARTING"</formula1>
    </dataValidation>
  </dataValidations>
  <drawing r:id="rId1"/>
</worksheet>
</file>